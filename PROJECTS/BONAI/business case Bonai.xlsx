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em omzet bonai per maand" sheetId="2" r:id="rId6"/>
  </sheets>
  <definedNames/>
  <calcPr/>
</workbook>
</file>

<file path=xl/sharedStrings.xml><?xml version="1.0" encoding="utf-8"?>
<sst xmlns="http://schemas.openxmlformats.org/spreadsheetml/2006/main" count="132" uniqueCount="87">
  <si>
    <t>Salesfunnel Zenvoices (GEREALISEERD)</t>
  </si>
  <si>
    <t>AANNAME</t>
  </si>
  <si>
    <t>IN TE VULLEN</t>
  </si>
  <si>
    <t>SEA</t>
  </si>
  <si>
    <t>Op basis van linkedin data</t>
  </si>
  <si>
    <t>MAX Cost per view</t>
  </si>
  <si>
    <t>-</t>
  </si>
  <si>
    <t>Linkedin</t>
  </si>
  <si>
    <t>TTT</t>
  </si>
  <si>
    <t>maand</t>
  </si>
  <si>
    <t>Uitgenodigd</t>
  </si>
  <si>
    <t>Geaccepteerd</t>
  </si>
  <si>
    <t>Replies</t>
  </si>
  <si>
    <t>Demo's</t>
  </si>
  <si>
    <t>Klanten</t>
  </si>
  <si>
    <t>Totale marge</t>
  </si>
  <si>
    <t>Totale omzet</t>
  </si>
  <si>
    <t>Gemiddelde omzet per klant per maand</t>
  </si>
  <si>
    <t>Gemiddelde omzet per klant per jaar</t>
  </si>
  <si>
    <t>Gemiddelde marge per klant per maand</t>
  </si>
  <si>
    <t>Gemiddelde marge per klant per jaar</t>
  </si>
  <si>
    <t>Uitnodiging naar klant per uitnodiging</t>
  </si>
  <si>
    <t>Uitnodiging naar klant per acceptatie</t>
  </si>
  <si>
    <t>Administratiekantoren #</t>
  </si>
  <si>
    <t>Zenvoices vs Basecone</t>
  </si>
  <si>
    <t>https://gemini.google.com/share/e0170f5ea437</t>
  </si>
  <si>
    <t>https://www.perplexity.ai/search/hoeveel-administratie-en-accou-uw1Ib4wKSb6lEbFKnarM1g#1</t>
  </si>
  <si>
    <t>Zenvoices</t>
  </si>
  <si>
    <t>tot</t>
  </si>
  <si>
    <t>Administraties</t>
  </si>
  <si>
    <t>Basecone</t>
  </si>
  <si>
    <t>Informatie Basecone Patrick:</t>
  </si>
  <si>
    <t>5000 kantoren</t>
  </si>
  <si>
    <t>Informatie Basecone website: 2400 kantoren</t>
  </si>
  <si>
    <t>14-24 keer meer kantoren Basecone dan Zenvoices</t>
  </si>
  <si>
    <t>keer meer</t>
  </si>
  <si>
    <t>Exact Online</t>
  </si>
  <si>
    <t>% Scan &amp; Herken</t>
  </si>
  <si>
    <t>https://www.perplexity.ai/search/hoeveel-administratie-en-accou-3yxVpHnnRwiCIaqQ_6MyVQ</t>
  </si>
  <si>
    <t>Exact meer dan Zenvoices</t>
  </si>
  <si>
    <t>Salesfunnel Basecone</t>
  </si>
  <si>
    <t>maanden voor outreach</t>
  </si>
  <si>
    <t>Marge</t>
  </si>
  <si>
    <t>Omzet Basecone</t>
  </si>
  <si>
    <t>Totaal omzet</t>
  </si>
  <si>
    <t>Waarde</t>
  </si>
  <si>
    <t>Salesfunnel Exact</t>
  </si>
  <si>
    <t>Omzet Exact</t>
  </si>
  <si>
    <t xml:space="preserve">Totaal aantal klanten </t>
  </si>
  <si>
    <t>Na 0.5 - 1  jaar</t>
  </si>
  <si>
    <t>Marge Basecone</t>
  </si>
  <si>
    <t>per jaar</t>
  </si>
  <si>
    <t>Marge Exact</t>
  </si>
  <si>
    <t>Marge Basecone+Exact</t>
  </si>
  <si>
    <t>Waarderings Multiple</t>
  </si>
  <si>
    <t>https://gemini.google.com/share/489a5b822c07</t>
  </si>
  <si>
    <t>Waardering bedrijf ENKEL BASECONE</t>
  </si>
  <si>
    <t>Waardering bedrijf ENKEL EXACT</t>
  </si>
  <si>
    <t>Waarderin bedrijf Basecone + Exact</t>
  </si>
  <si>
    <t>Bonai Full product</t>
  </si>
  <si>
    <t>Bereidheid te betalen klanten voor Zenvoices + Procai per jaar</t>
  </si>
  <si>
    <t>Overstappen naar Bonai Full service</t>
  </si>
  <si>
    <t>Aanname</t>
  </si>
  <si>
    <t>Overstap tijd</t>
  </si>
  <si>
    <t>maanden</t>
  </si>
  <si>
    <t>Aantal klanten na overstaptijd</t>
  </si>
  <si>
    <t>Omzet Bonai full service per jaar</t>
  </si>
  <si>
    <t>Totaal omzet na 1 - 1.5 jaar</t>
  </si>
  <si>
    <t>Waardering bedrijf</t>
  </si>
  <si>
    <t>https://gemini.google.com/share/6930ff7bd190</t>
  </si>
  <si>
    <t>Toevoeging iedere extra klant:</t>
  </si>
  <si>
    <t>omzet</t>
  </si>
  <si>
    <t>marge</t>
  </si>
  <si>
    <t>Waardering</t>
  </si>
  <si>
    <t>Maand</t>
  </si>
  <si>
    <t>Klant</t>
  </si>
  <si>
    <t>Bonnen</t>
  </si>
  <si>
    <t>Variabele omzet</t>
  </si>
  <si>
    <t>Variabele kosten</t>
  </si>
  <si>
    <t>Hosting</t>
  </si>
  <si>
    <t>Totale kosten</t>
  </si>
  <si>
    <t>Dec</t>
  </si>
  <si>
    <t>Jacc</t>
  </si>
  <si>
    <t>Jan</t>
  </si>
  <si>
    <t>Feb</t>
  </si>
  <si>
    <t>CS</t>
  </si>
  <si>
    <t>GEMIDDELD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</si>
</sst>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[$€]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4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10" xfId="0" applyFont="1" applyNumberFormat="1"/>
    <xf borderId="0" fillId="2" fontId="2" numFmtId="164" xfId="0" applyFont="1" applyNumberFormat="1"/>
    <xf borderId="0" fillId="5" fontId="1" numFmtId="0" xfId="0" applyAlignment="1" applyFill="1" applyFont="1">
      <alignment readingOrder="0"/>
    </xf>
    <xf borderId="0" fillId="5" fontId="2" numFmtId="0" xfId="0" applyFont="1"/>
    <xf borderId="0" fillId="5" fontId="2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2" numFmtId="1" xfId="0" applyFont="1" applyNumberFormat="1"/>
    <xf borderId="0" fillId="3" fontId="2" numFmtId="9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2" numFmtId="0" xfId="0" applyFont="1"/>
    <xf borderId="0" fillId="6" fontId="2" numFmtId="1" xfId="0" applyFont="1" applyNumberFormat="1"/>
    <xf borderId="0" fillId="6" fontId="2" numFmtId="0" xfId="0" applyAlignment="1" applyFont="1">
      <alignment readingOrder="0"/>
    </xf>
    <xf borderId="0" fillId="6" fontId="2" numFmtId="1" xfId="0" applyAlignment="1" applyFont="1" applyNumberFormat="1">
      <alignment readingOrder="0"/>
    </xf>
    <xf borderId="0" fillId="6" fontId="2" numFmtId="10" xfId="0" applyFont="1" applyNumberFormat="1"/>
    <xf borderId="0" fillId="6" fontId="2" numFmtId="164" xfId="0" applyFont="1" applyNumberFormat="1"/>
    <xf borderId="0" fillId="0" fontId="2" numFmtId="10" xfId="0" applyFont="1" applyNumberFormat="1"/>
    <xf borderId="0" fillId="7" fontId="1" numFmtId="0" xfId="0" applyAlignment="1" applyFill="1" applyFont="1">
      <alignment readingOrder="0"/>
    </xf>
    <xf borderId="0" fillId="7" fontId="2" numFmtId="10" xfId="0" applyFont="1" applyNumberFormat="1"/>
    <xf borderId="0" fillId="7" fontId="2" numFmtId="0" xfId="0" applyFont="1"/>
    <xf borderId="0" fillId="7" fontId="2" numFmtId="0" xfId="0" applyAlignment="1" applyFont="1">
      <alignment readingOrder="0"/>
    </xf>
    <xf borderId="0" fillId="7" fontId="2" numFmtId="1" xfId="0" applyAlignment="1" applyFont="1" applyNumberFormat="1">
      <alignment readingOrder="0"/>
    </xf>
    <xf borderId="0" fillId="7" fontId="2" numFmtId="164" xfId="0" applyFont="1" applyNumberFormat="1"/>
    <xf borderId="0" fillId="0" fontId="1" numFmtId="1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1" fillId="3" fontId="2" numFmtId="10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0" fillId="0" fontId="2" numFmtId="1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emini.google.com/share/e0170f5ea437" TargetMode="External"/><Relationship Id="rId2" Type="http://schemas.openxmlformats.org/officeDocument/2006/relationships/hyperlink" Target="https://www.perplexity.ai/search/hoeveel-administratie-en-accou-uw1Ib4wKSb6lEbFKnarM1g" TargetMode="External"/><Relationship Id="rId3" Type="http://schemas.openxmlformats.org/officeDocument/2006/relationships/hyperlink" Target="https://www.perplexity.ai/search/hoeveel-administratie-en-accou-3yxVpHnnRwiCIaqQ_6MyVQ" TargetMode="External"/><Relationship Id="rId4" Type="http://schemas.openxmlformats.org/officeDocument/2006/relationships/hyperlink" Target="https://gemini.google.com/share/489a5b822c07" TargetMode="External"/><Relationship Id="rId5" Type="http://schemas.openxmlformats.org/officeDocument/2006/relationships/hyperlink" Target="https://gemini.google.com/share/6930ff7bd190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</cols>
  <sheetData>
    <row r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 t="s">
        <v>2</v>
      </c>
      <c r="J1" s="5"/>
      <c r="K1" s="5"/>
      <c r="L1" s="5" t="s">
        <v>3</v>
      </c>
      <c r="M1" s="6" t="s">
        <v>4</v>
      </c>
    </row>
    <row r="2">
      <c r="A2" s="2"/>
      <c r="B2" s="2"/>
      <c r="C2" s="2"/>
      <c r="D2" s="2"/>
      <c r="E2" s="2"/>
      <c r="F2" s="2"/>
      <c r="G2" s="2"/>
      <c r="I2" s="6"/>
      <c r="J2" s="6"/>
      <c r="K2" s="6"/>
      <c r="L2" s="6" t="s">
        <v>5</v>
      </c>
      <c r="M2" s="7">
        <f>B13*B11*M3</f>
        <v>6.306898148</v>
      </c>
      <c r="N2" s="6" t="s">
        <v>6</v>
      </c>
      <c r="O2" s="7">
        <f>B14*B11*M3</f>
        <v>17.63482201</v>
      </c>
    </row>
    <row r="3">
      <c r="A3" s="1" t="s">
        <v>7</v>
      </c>
      <c r="B3" s="2"/>
      <c r="C3" s="2"/>
      <c r="D3" s="2"/>
      <c r="E3" s="2"/>
      <c r="F3" s="2"/>
      <c r="G3" s="2"/>
      <c r="I3" s="6"/>
      <c r="J3" s="6"/>
      <c r="K3" s="6"/>
      <c r="L3" s="6" t="s">
        <v>8</v>
      </c>
      <c r="M3" s="8">
        <v>1.0</v>
      </c>
      <c r="N3" s="6" t="s">
        <v>9</v>
      </c>
    </row>
    <row r="4">
      <c r="A4" s="9" t="s">
        <v>10</v>
      </c>
      <c r="B4" s="9">
        <v>288.0</v>
      </c>
      <c r="C4" s="2"/>
      <c r="D4" s="2"/>
      <c r="E4" s="2"/>
      <c r="F4" s="2"/>
      <c r="G4" s="2"/>
    </row>
    <row r="5">
      <c r="A5" s="9" t="s">
        <v>11</v>
      </c>
      <c r="B5" s="9">
        <v>103.0</v>
      </c>
      <c r="C5" s="10">
        <f t="shared" ref="C5:C8" si="1">B5/B4</f>
        <v>0.3576388889</v>
      </c>
      <c r="D5" s="2"/>
      <c r="E5" s="2"/>
      <c r="F5" s="2"/>
      <c r="G5" s="2"/>
    </row>
    <row r="6">
      <c r="A6" s="9" t="s">
        <v>12</v>
      </c>
      <c r="B6" s="9">
        <v>70.0</v>
      </c>
      <c r="C6" s="10">
        <f t="shared" si="1"/>
        <v>0.6796116505</v>
      </c>
      <c r="D6" s="2"/>
      <c r="E6" s="2"/>
      <c r="F6" s="2"/>
      <c r="G6" s="2"/>
    </row>
    <row r="7">
      <c r="A7" s="9" t="s">
        <v>13</v>
      </c>
      <c r="B7" s="9">
        <v>19.0</v>
      </c>
      <c r="C7" s="10">
        <f t="shared" si="1"/>
        <v>0.2714285714</v>
      </c>
      <c r="D7" s="2"/>
      <c r="E7" s="2"/>
      <c r="F7" s="2"/>
      <c r="G7" s="2"/>
    </row>
    <row r="8">
      <c r="A8" s="9" t="s">
        <v>14</v>
      </c>
      <c r="B8" s="9">
        <v>4.0</v>
      </c>
      <c r="C8" s="10">
        <f t="shared" si="1"/>
        <v>0.2105263158</v>
      </c>
      <c r="D8" s="9" t="s">
        <v>15</v>
      </c>
      <c r="E8" s="11">
        <f>B8*B12</f>
        <v>21796.64</v>
      </c>
      <c r="F8" s="9" t="s">
        <v>16</v>
      </c>
      <c r="G8" s="11">
        <f>'Gem omzet bonai per maand'!D8*B8*12</f>
        <v>25643.2</v>
      </c>
    </row>
    <row r="9">
      <c r="A9" s="9" t="s">
        <v>17</v>
      </c>
      <c r="B9" s="11">
        <f>'Gem omzet bonai per maand'!D8+49</f>
        <v>583.2333333</v>
      </c>
      <c r="C9" s="2"/>
      <c r="D9" s="2"/>
      <c r="E9" s="2"/>
      <c r="F9" s="2"/>
      <c r="G9" s="2"/>
    </row>
    <row r="10">
      <c r="A10" s="9" t="s">
        <v>18</v>
      </c>
      <c r="B10" s="11">
        <f>B9*12</f>
        <v>6998.8</v>
      </c>
      <c r="C10" s="2"/>
      <c r="D10" s="2"/>
      <c r="E10" s="2"/>
      <c r="F10" s="2"/>
      <c r="G10" s="2"/>
    </row>
    <row r="11">
      <c r="A11" s="9" t="s">
        <v>19</v>
      </c>
      <c r="B11" s="11">
        <f>'Gem omzet bonai per maand'!H8+49</f>
        <v>454.0966667</v>
      </c>
      <c r="C11" s="2"/>
      <c r="D11" s="2"/>
      <c r="E11" s="2"/>
      <c r="F11" s="2"/>
      <c r="G11" s="2"/>
    </row>
    <row r="12">
      <c r="A12" s="9" t="s">
        <v>20</v>
      </c>
      <c r="B12" s="11">
        <f>B11*12</f>
        <v>5449.16</v>
      </c>
      <c r="C12" s="2"/>
      <c r="D12" s="2"/>
      <c r="E12" s="2"/>
      <c r="F12" s="2"/>
      <c r="G12" s="2"/>
    </row>
    <row r="13">
      <c r="A13" s="9" t="s">
        <v>21</v>
      </c>
      <c r="B13" s="10">
        <f>B8/B4</f>
        <v>0.01388888889</v>
      </c>
      <c r="C13" s="2"/>
      <c r="D13" s="2"/>
      <c r="E13" s="2"/>
      <c r="F13" s="2"/>
      <c r="G13" s="2"/>
    </row>
    <row r="14">
      <c r="A14" s="9" t="s">
        <v>22</v>
      </c>
      <c r="B14" s="10">
        <f>B8/B5</f>
        <v>0.03883495146</v>
      </c>
      <c r="C14" s="2"/>
      <c r="D14" s="2"/>
      <c r="E14" s="2"/>
      <c r="F14" s="2"/>
      <c r="G14" s="2"/>
    </row>
    <row r="15">
      <c r="A15" s="5"/>
      <c r="B15" s="6"/>
    </row>
    <row r="16">
      <c r="A16" s="12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>
      <c r="A17" s="14" t="s">
        <v>24</v>
      </c>
      <c r="B17" s="13"/>
      <c r="C17" s="15" t="s">
        <v>25</v>
      </c>
      <c r="D17" s="13"/>
      <c r="E17" s="13"/>
      <c r="F17" s="15" t="s">
        <v>26</v>
      </c>
      <c r="G17" s="13"/>
      <c r="H17" s="13"/>
      <c r="I17" s="13"/>
      <c r="J17" s="13"/>
      <c r="K17" s="13"/>
      <c r="L17" s="13"/>
      <c r="M17" s="13"/>
      <c r="N17" s="13"/>
    </row>
    <row r="18">
      <c r="A18" s="14" t="s">
        <v>27</v>
      </c>
      <c r="B18" s="14">
        <v>100.0</v>
      </c>
      <c r="C18" s="14" t="s">
        <v>28</v>
      </c>
      <c r="D18" s="14">
        <v>350.0</v>
      </c>
      <c r="E18" s="14" t="s">
        <v>29</v>
      </c>
      <c r="F18" s="13"/>
      <c r="G18" s="13"/>
      <c r="H18" s="13"/>
      <c r="I18" s="13"/>
      <c r="J18" s="13"/>
      <c r="K18" s="13"/>
      <c r="L18" s="13"/>
      <c r="M18" s="13"/>
      <c r="N18" s="13"/>
    </row>
    <row r="19">
      <c r="A19" s="14" t="s">
        <v>30</v>
      </c>
      <c r="B19" s="14">
        <v>2400.0</v>
      </c>
      <c r="C19" s="14" t="s">
        <v>28</v>
      </c>
      <c r="D19" s="14">
        <v>5000.0</v>
      </c>
      <c r="E19" s="14" t="s">
        <v>29</v>
      </c>
      <c r="F19" s="14" t="s">
        <v>31</v>
      </c>
      <c r="G19" s="14" t="s">
        <v>32</v>
      </c>
      <c r="H19" s="13"/>
      <c r="I19" s="14"/>
      <c r="J19" s="14"/>
      <c r="K19" s="14"/>
      <c r="L19" s="14" t="s">
        <v>33</v>
      </c>
      <c r="M19" s="13"/>
      <c r="N19" s="13"/>
    </row>
    <row r="20">
      <c r="A20" s="14" t="s">
        <v>34</v>
      </c>
      <c r="B20" s="16">
        <f>AVERAGE(E20:G20)</f>
        <v>19.14285714</v>
      </c>
      <c r="C20" s="14" t="s">
        <v>35</v>
      </c>
      <c r="D20" s="13"/>
      <c r="E20" s="14">
        <f>D19/D18</f>
        <v>14.28571429</v>
      </c>
      <c r="F20" s="14" t="s">
        <v>28</v>
      </c>
      <c r="G20" s="14">
        <f>B19/B18</f>
        <v>24</v>
      </c>
      <c r="H20" s="14" t="s">
        <v>35</v>
      </c>
      <c r="I20" s="13"/>
      <c r="J20" s="13"/>
      <c r="K20" s="13"/>
      <c r="L20" s="13"/>
      <c r="M20" s="13"/>
      <c r="N20" s="13"/>
    </row>
    <row r="21">
      <c r="A21" s="14" t="s">
        <v>36</v>
      </c>
      <c r="B21" s="17">
        <v>0.5</v>
      </c>
      <c r="C21" s="14" t="s">
        <v>37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>
      <c r="A22" s="14" t="s">
        <v>36</v>
      </c>
      <c r="B22" s="13">
        <f>B21*10000</f>
        <v>5000</v>
      </c>
      <c r="C22" s="15" t="s">
        <v>38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>
      <c r="A23" s="18" t="s">
        <v>39</v>
      </c>
      <c r="B23" s="16">
        <f>AVERAGE(E23:G23)</f>
        <v>32.14285714</v>
      </c>
      <c r="C23" s="13"/>
      <c r="D23" s="13"/>
      <c r="E23" s="14">
        <f>B22/D18</f>
        <v>14.28571429</v>
      </c>
      <c r="F23" s="14" t="s">
        <v>28</v>
      </c>
      <c r="G23" s="14">
        <f>B22/B18</f>
        <v>50</v>
      </c>
      <c r="H23" s="14" t="s">
        <v>35</v>
      </c>
      <c r="I23" s="13"/>
      <c r="J23" s="13"/>
      <c r="K23" s="13"/>
      <c r="L23" s="13"/>
      <c r="M23" s="13"/>
      <c r="N23" s="13"/>
    </row>
    <row r="24">
      <c r="A24" s="5"/>
      <c r="D24" s="5"/>
    </row>
    <row r="25">
      <c r="A25" s="5"/>
      <c r="D25" s="5"/>
    </row>
    <row r="26">
      <c r="A26" s="19" t="s">
        <v>40</v>
      </c>
      <c r="B26" s="20"/>
      <c r="C26" s="21">
        <f>B29/400/2</f>
        <v>6.891428571</v>
      </c>
      <c r="D26" s="19" t="s">
        <v>41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>
      <c r="A28" s="19" t="s">
        <v>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>
      <c r="A29" s="22" t="s">
        <v>10</v>
      </c>
      <c r="B29" s="23">
        <f>B4*B20</f>
        <v>5513.142857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>
      <c r="A30" s="22" t="s">
        <v>11</v>
      </c>
      <c r="B30" s="23">
        <f t="shared" ref="B30:B33" si="2">B29*C30</f>
        <v>1971.714286</v>
      </c>
      <c r="C30" s="24">
        <f t="shared" ref="C30:C33" si="3">C5</f>
        <v>0.3576388889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>
      <c r="A31" s="22" t="s">
        <v>12</v>
      </c>
      <c r="B31" s="23">
        <f t="shared" si="2"/>
        <v>1340</v>
      </c>
      <c r="C31" s="24">
        <f t="shared" si="3"/>
        <v>0.6796116505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>
      <c r="A32" s="22" t="s">
        <v>13</v>
      </c>
      <c r="B32" s="23">
        <f t="shared" si="2"/>
        <v>363.7142857</v>
      </c>
      <c r="C32" s="24">
        <f t="shared" si="3"/>
        <v>0.2714285714</v>
      </c>
      <c r="D32" s="20"/>
      <c r="E32" s="22" t="s">
        <v>42</v>
      </c>
      <c r="F32" s="22" t="s">
        <v>43</v>
      </c>
      <c r="G32" s="22" t="s">
        <v>44</v>
      </c>
      <c r="H32" s="20"/>
      <c r="I32" s="20"/>
      <c r="J32" s="20"/>
      <c r="K32" s="20"/>
      <c r="L32" s="20"/>
      <c r="M32" s="20"/>
      <c r="N32" s="20"/>
    </row>
    <row r="33">
      <c r="A33" s="22" t="s">
        <v>14</v>
      </c>
      <c r="B33" s="23">
        <f t="shared" si="2"/>
        <v>76.57142857</v>
      </c>
      <c r="C33" s="24">
        <f t="shared" si="3"/>
        <v>0.2105263158</v>
      </c>
      <c r="D33" s="22" t="s">
        <v>45</v>
      </c>
      <c r="E33" s="25">
        <f>B33*B37</f>
        <v>417249.9657</v>
      </c>
      <c r="F33" s="25">
        <f>B33*'Gem omzet bonai per maand'!D8*12</f>
        <v>490884.1143</v>
      </c>
      <c r="G33" s="25">
        <f>F33+G8</f>
        <v>516527.3143</v>
      </c>
      <c r="H33" s="20"/>
      <c r="I33" s="20"/>
      <c r="J33" s="20"/>
      <c r="K33" s="20"/>
      <c r="L33" s="20"/>
      <c r="M33" s="20"/>
      <c r="N33" s="20"/>
    </row>
    <row r="34">
      <c r="A34" s="22" t="s">
        <v>17</v>
      </c>
      <c r="B34" s="25">
        <f>'Gem omzet bonai per maand'!D8+49</f>
        <v>583.2333333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>
      <c r="A35" s="22" t="s">
        <v>18</v>
      </c>
      <c r="B35" s="25">
        <f>B34*12</f>
        <v>6998.8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>
      <c r="A36" s="22" t="s">
        <v>19</v>
      </c>
      <c r="B36" s="25">
        <f>'Gem omzet bonai per maand'!H8+49</f>
        <v>454.0966667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>
      <c r="A37" s="22" t="s">
        <v>20</v>
      </c>
      <c r="B37" s="25">
        <f>B36*12</f>
        <v>5449.16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>
      <c r="A38" s="22" t="s">
        <v>21</v>
      </c>
      <c r="B38" s="24">
        <f>B33/B29</f>
        <v>0.01388888889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>
      <c r="B39" s="26"/>
    </row>
    <row r="40">
      <c r="A40" s="27" t="s">
        <v>46</v>
      </c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>
      <c r="A41" s="27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>
      <c r="A42" s="27" t="s">
        <v>7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>
      <c r="A43" s="30" t="s">
        <v>10</v>
      </c>
      <c r="B43" s="31">
        <f>B23*B4</f>
        <v>9257.142857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>
      <c r="A44" s="30" t="s">
        <v>11</v>
      </c>
      <c r="B44" s="31">
        <f t="shared" ref="B44:B47" si="4">B43*C44</f>
        <v>3310.714286</v>
      </c>
      <c r="C44" s="28">
        <f t="shared" ref="C44:C47" si="5">C5</f>
        <v>0.3576388889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>
      <c r="A45" s="30" t="s">
        <v>12</v>
      </c>
      <c r="B45" s="31">
        <f t="shared" si="4"/>
        <v>2250</v>
      </c>
      <c r="C45" s="28">
        <f t="shared" si="5"/>
        <v>0.6796116505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>
      <c r="A46" s="30" t="s">
        <v>13</v>
      </c>
      <c r="B46" s="31">
        <f t="shared" si="4"/>
        <v>610.7142857</v>
      </c>
      <c r="C46" s="28">
        <f t="shared" si="5"/>
        <v>0.2714285714</v>
      </c>
      <c r="D46" s="29"/>
      <c r="E46" s="30" t="s">
        <v>42</v>
      </c>
      <c r="F46" s="30" t="s">
        <v>47</v>
      </c>
      <c r="G46" s="30" t="s">
        <v>44</v>
      </c>
      <c r="H46" s="29"/>
      <c r="I46" s="29"/>
      <c r="J46" s="29"/>
      <c r="K46" s="29"/>
      <c r="L46" s="29"/>
      <c r="M46" s="29"/>
      <c r="N46" s="29"/>
    </row>
    <row r="47">
      <c r="A47" s="30" t="s">
        <v>14</v>
      </c>
      <c r="B47" s="31">
        <f t="shared" si="4"/>
        <v>128.5714286</v>
      </c>
      <c r="C47" s="28">
        <f t="shared" si="5"/>
        <v>0.2105263158</v>
      </c>
      <c r="D47" s="30" t="s">
        <v>45</v>
      </c>
      <c r="E47" s="32">
        <f>B47*B51</f>
        <v>700606.2857</v>
      </c>
      <c r="F47" s="32">
        <f>B47*'Gem omzet bonai per maand'!D8*12</f>
        <v>824245.7143</v>
      </c>
      <c r="G47" s="32">
        <f>F47+G24</f>
        <v>824245.7143</v>
      </c>
      <c r="H47" s="29"/>
      <c r="I47" s="29"/>
      <c r="J47" s="29"/>
      <c r="K47" s="29"/>
      <c r="L47" s="29"/>
      <c r="M47" s="29"/>
      <c r="N47" s="29"/>
    </row>
    <row r="48">
      <c r="A48" s="30" t="s">
        <v>17</v>
      </c>
      <c r="B48" s="32">
        <f>'Gem omzet bonai per maand'!D8+49</f>
        <v>583.2333333</v>
      </c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>
      <c r="A49" s="30" t="s">
        <v>18</v>
      </c>
      <c r="B49" s="32">
        <f>B48*12</f>
        <v>6998.8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>
      <c r="A50" s="30" t="s">
        <v>19</v>
      </c>
      <c r="B50" s="32">
        <f>'Gem omzet bonai per maand'!H8+49</f>
        <v>454.0966667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>
      <c r="A51" s="30" t="s">
        <v>20</v>
      </c>
      <c r="B51" s="32">
        <f>B50*12</f>
        <v>5449.16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</row>
    <row r="52">
      <c r="A52" s="30" t="s">
        <v>21</v>
      </c>
      <c r="B52" s="28">
        <f>B47/B43</f>
        <v>0.01388888889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</row>
    <row r="53">
      <c r="B53" s="26"/>
    </row>
    <row r="54">
      <c r="A54" s="5" t="s">
        <v>48</v>
      </c>
      <c r="B54" s="33">
        <f>B33+B8+B47</f>
        <v>209.1428571</v>
      </c>
      <c r="C54" s="5"/>
    </row>
    <row r="55">
      <c r="A55" s="5" t="s">
        <v>49</v>
      </c>
      <c r="B55" s="5"/>
      <c r="C55" s="5"/>
    </row>
    <row r="56">
      <c r="A56" s="5" t="s">
        <v>50</v>
      </c>
      <c r="B56" s="34">
        <f>E33+E8</f>
        <v>439046.6057</v>
      </c>
      <c r="C56" s="5" t="s">
        <v>51</v>
      </c>
    </row>
    <row r="57">
      <c r="A57" s="5" t="s">
        <v>52</v>
      </c>
      <c r="B57" s="35">
        <f>E47</f>
        <v>700606.2857</v>
      </c>
      <c r="C57" s="6" t="s">
        <v>51</v>
      </c>
    </row>
    <row r="58">
      <c r="A58" s="5" t="s">
        <v>53</v>
      </c>
      <c r="B58" s="35">
        <f>B57+B56</f>
        <v>1139652.891</v>
      </c>
    </row>
    <row r="59">
      <c r="A59" s="5" t="s">
        <v>54</v>
      </c>
      <c r="B59" s="5">
        <v>4.0</v>
      </c>
      <c r="C59" s="36" t="s">
        <v>55</v>
      </c>
    </row>
    <row r="60">
      <c r="A60" s="5" t="s">
        <v>56</v>
      </c>
      <c r="B60" s="37">
        <f>B59*B56</f>
        <v>1756186.423</v>
      </c>
    </row>
    <row r="61">
      <c r="A61" s="5" t="s">
        <v>57</v>
      </c>
      <c r="B61" s="38">
        <f>B57*B59</f>
        <v>2802425.143</v>
      </c>
      <c r="C61" s="6"/>
    </row>
    <row r="62">
      <c r="A62" s="5" t="s">
        <v>58</v>
      </c>
      <c r="B62" s="38">
        <f>B60+B61</f>
        <v>4558611.566</v>
      </c>
      <c r="C62" s="6"/>
    </row>
    <row r="63">
      <c r="A63" s="6"/>
      <c r="C63" s="6"/>
    </row>
    <row r="64">
      <c r="A64" s="6"/>
      <c r="C64" s="6"/>
    </row>
    <row r="65">
      <c r="A65" s="5" t="s">
        <v>59</v>
      </c>
    </row>
    <row r="66">
      <c r="A66" s="6" t="s">
        <v>60</v>
      </c>
      <c r="B66" s="7">
        <f>15000+B12</f>
        <v>20449.16</v>
      </c>
      <c r="C66" s="6" t="s">
        <v>42</v>
      </c>
      <c r="D66" s="7">
        <f>B66-'Gem omzet bonai per maand'!G8*12</f>
        <v>18899.52</v>
      </c>
    </row>
    <row r="67">
      <c r="A67" s="6" t="s">
        <v>61</v>
      </c>
      <c r="B67" s="39">
        <v>0.1</v>
      </c>
      <c r="C67" s="6" t="s">
        <v>62</v>
      </c>
    </row>
    <row r="68">
      <c r="A68" s="6" t="s">
        <v>63</v>
      </c>
      <c r="B68" s="40">
        <v>6.0</v>
      </c>
      <c r="C68" s="6" t="s">
        <v>64</v>
      </c>
    </row>
    <row r="69">
      <c r="A69" s="6" t="s">
        <v>65</v>
      </c>
      <c r="B69" s="41">
        <f>B67*B54</f>
        <v>20.91428571</v>
      </c>
    </row>
    <row r="70">
      <c r="A70" s="6" t="s">
        <v>66</v>
      </c>
      <c r="B70" s="7">
        <f>B66*B69</f>
        <v>427679.5749</v>
      </c>
      <c r="C70" s="6" t="s">
        <v>42</v>
      </c>
      <c r="D70" s="7">
        <f>D66*B69</f>
        <v>395269.9611</v>
      </c>
    </row>
    <row r="72">
      <c r="A72" s="5" t="s">
        <v>67</v>
      </c>
      <c r="B72" s="34">
        <f>B70+(B54-B69)*B35</f>
        <v>1745053.701</v>
      </c>
      <c r="C72" s="6" t="s">
        <v>42</v>
      </c>
      <c r="D72" s="7">
        <f>D70+(B54-B69)*B37</f>
        <v>1420957.563</v>
      </c>
    </row>
    <row r="73">
      <c r="A73" s="5" t="s">
        <v>68</v>
      </c>
      <c r="B73" s="37">
        <f>B74*B72</f>
        <v>11342849.05</v>
      </c>
    </row>
    <row r="74">
      <c r="A74" s="5" t="s">
        <v>54</v>
      </c>
      <c r="B74" s="5">
        <v>6.5</v>
      </c>
      <c r="C74" s="36" t="s">
        <v>69</v>
      </c>
    </row>
    <row r="75">
      <c r="A75" s="5" t="s">
        <v>70</v>
      </c>
      <c r="B75" s="7">
        <f>B66</f>
        <v>20449.16</v>
      </c>
      <c r="C75" s="6" t="s">
        <v>71</v>
      </c>
    </row>
    <row r="76">
      <c r="B76" s="42">
        <f>D66</f>
        <v>18899.52</v>
      </c>
      <c r="C76" s="6" t="s">
        <v>72</v>
      </c>
    </row>
    <row r="77">
      <c r="B77" s="42">
        <f>B75*B74</f>
        <v>132919.54</v>
      </c>
      <c r="C77" s="6" t="s">
        <v>73</v>
      </c>
    </row>
  </sheetData>
  <hyperlinks>
    <hyperlink r:id="rId1" ref="C17"/>
    <hyperlink r:id="rId2" location="1" ref="F17"/>
    <hyperlink r:id="rId3" ref="C22"/>
    <hyperlink r:id="rId4" ref="C59"/>
    <hyperlink r:id="rId5" ref="C74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74</v>
      </c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  <c r="G1" s="6" t="s">
        <v>80</v>
      </c>
      <c r="H1" s="6" t="s">
        <v>42</v>
      </c>
    </row>
    <row r="2">
      <c r="A2" s="6" t="s">
        <v>81</v>
      </c>
      <c r="B2" s="6" t="s">
        <v>82</v>
      </c>
      <c r="C2" s="6">
        <v>829.0</v>
      </c>
      <c r="D2" s="43">
        <f>829*0.4</f>
        <v>331.6</v>
      </c>
      <c r="E2" s="43">
        <f t="shared" ref="E2:E7" si="1">C2*0.07</f>
        <v>58.03</v>
      </c>
      <c r="F2" s="6">
        <v>25.0</v>
      </c>
      <c r="G2" s="43">
        <f t="shared" ref="G2:G7" si="2">E2+F2</f>
        <v>83.03</v>
      </c>
      <c r="H2" s="43">
        <f t="shared" ref="H2:H7" si="3">D2-G2</f>
        <v>248.57</v>
      </c>
    </row>
    <row r="3">
      <c r="A3" s="6" t="s">
        <v>83</v>
      </c>
      <c r="B3" s="6" t="s">
        <v>82</v>
      </c>
      <c r="C3" s="6">
        <v>1074.0</v>
      </c>
      <c r="D3" s="43">
        <f>400+(74*0.3)</f>
        <v>422.2</v>
      </c>
      <c r="E3" s="43">
        <f t="shared" si="1"/>
        <v>75.18</v>
      </c>
      <c r="F3" s="6">
        <v>25.0</v>
      </c>
      <c r="G3" s="43">
        <f t="shared" si="2"/>
        <v>100.18</v>
      </c>
      <c r="H3" s="43">
        <f t="shared" si="3"/>
        <v>322.02</v>
      </c>
    </row>
    <row r="4">
      <c r="A4" s="6" t="s">
        <v>84</v>
      </c>
      <c r="B4" s="6" t="s">
        <v>82</v>
      </c>
      <c r="C4" s="6">
        <v>1566.0</v>
      </c>
      <c r="D4" s="43">
        <f>400+(566*0.3)</f>
        <v>569.8</v>
      </c>
      <c r="E4" s="43">
        <f t="shared" si="1"/>
        <v>109.62</v>
      </c>
      <c r="F4" s="6">
        <v>25.0</v>
      </c>
      <c r="G4" s="43">
        <f t="shared" si="2"/>
        <v>134.62</v>
      </c>
      <c r="H4" s="43">
        <f t="shared" si="3"/>
        <v>435.18</v>
      </c>
    </row>
    <row r="5">
      <c r="A5" s="6" t="s">
        <v>81</v>
      </c>
      <c r="B5" s="6" t="s">
        <v>85</v>
      </c>
      <c r="C5" s="6">
        <v>1092.0</v>
      </c>
      <c r="D5" s="43">
        <f>400+(92*0.3)</f>
        <v>427.6</v>
      </c>
      <c r="E5" s="43">
        <f t="shared" si="1"/>
        <v>76.44</v>
      </c>
      <c r="F5" s="6">
        <v>25.0</v>
      </c>
      <c r="G5" s="43">
        <f t="shared" si="2"/>
        <v>101.44</v>
      </c>
      <c r="H5" s="43">
        <f t="shared" si="3"/>
        <v>326.16</v>
      </c>
    </row>
    <row r="6">
      <c r="A6" s="6" t="s">
        <v>83</v>
      </c>
      <c r="B6" s="6" t="s">
        <v>85</v>
      </c>
      <c r="C6" s="6">
        <v>3459.0</v>
      </c>
      <c r="D6" s="43">
        <f>1000+(459*0.2)</f>
        <v>1091.8</v>
      </c>
      <c r="E6" s="43">
        <f t="shared" si="1"/>
        <v>242.13</v>
      </c>
      <c r="F6" s="6">
        <v>25.0</v>
      </c>
      <c r="G6" s="43">
        <f t="shared" si="2"/>
        <v>267.13</v>
      </c>
      <c r="H6" s="43">
        <f t="shared" si="3"/>
        <v>824.67</v>
      </c>
    </row>
    <row r="7">
      <c r="A7" s="6" t="s">
        <v>84</v>
      </c>
      <c r="B7" s="6" t="s">
        <v>85</v>
      </c>
      <c r="C7" s="6">
        <v>906.0</v>
      </c>
      <c r="D7" s="43">
        <f>906*0.4</f>
        <v>362.4</v>
      </c>
      <c r="E7" s="43">
        <f t="shared" si="1"/>
        <v>63.42</v>
      </c>
      <c r="F7" s="6">
        <v>25.0</v>
      </c>
      <c r="G7" s="43">
        <f t="shared" si="2"/>
        <v>88.42</v>
      </c>
      <c r="H7" s="43">
        <f t="shared" si="3"/>
        <v>273.98</v>
      </c>
    </row>
    <row r="8">
      <c r="A8" s="6" t="s">
        <v>86</v>
      </c>
      <c r="C8" s="43">
        <f t="shared" ref="C8:H8" si="4">AVERAGE(C2:C7)</f>
        <v>1487.666667</v>
      </c>
      <c r="D8" s="43">
        <f t="shared" si="4"/>
        <v>534.2333333</v>
      </c>
      <c r="E8" s="43">
        <f t="shared" si="4"/>
        <v>104.1366667</v>
      </c>
      <c r="F8" s="43">
        <f t="shared" si="4"/>
        <v>25</v>
      </c>
      <c r="G8" s="43">
        <f t="shared" si="4"/>
        <v>129.1366667</v>
      </c>
      <c r="H8" s="43">
        <f t="shared" si="4"/>
        <v>405.0966667</v>
      </c>
    </row>
  </sheetData>
  <drawing r:id="rId1"/>
</worksheet>
</file>